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strom-my.sharepoint.com/personal/antonino_bartolotta_marstrom_com/Documents/Documents/3D printer_Belloti/Material/"/>
    </mc:Choice>
  </mc:AlternateContent>
  <xr:revisionPtr revIDLastSave="611" documentId="8_{F13D41EC-9A78-495A-AB0E-2C42998BFAB3}" xr6:coauthVersionLast="47" xr6:coauthVersionMax="47" xr10:uidLastSave="{81EB523E-DE46-4F0B-9005-4C94AF74B4BE}"/>
  <bookViews>
    <workbookView xWindow="-106" yWindow="-106" windowWidth="33458" windowHeight="13530" xr2:uid="{BB2A5D7F-D638-45A6-9F5F-604DDEEA4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/>
  <c r="E44" i="1"/>
  <c r="F44" i="1"/>
  <c r="G44" i="1"/>
  <c r="D35" i="1"/>
  <c r="D40" i="1"/>
  <c r="D29" i="1"/>
  <c r="E36" i="1" s="1"/>
  <c r="D32" i="1"/>
  <c r="D33" i="1"/>
  <c r="D31" i="1"/>
  <c r="C34" i="1"/>
  <c r="C43" i="1" l="1"/>
  <c r="F45" i="1" s="1"/>
  <c r="D36" i="1"/>
  <c r="F36" i="1"/>
  <c r="G36" i="1"/>
  <c r="C36" i="1"/>
  <c r="C41" i="1"/>
  <c r="C42" i="1" s="1"/>
  <c r="G41" i="1"/>
  <c r="G42" i="1" s="1"/>
  <c r="F41" i="1"/>
  <c r="F42" i="1" s="1"/>
  <c r="E41" i="1"/>
  <c r="E42" i="1" s="1"/>
  <c r="D41" i="1"/>
  <c r="D42" i="1" s="1"/>
  <c r="D34" i="1"/>
  <c r="D37" i="1" s="1"/>
  <c r="G45" i="1" l="1"/>
  <c r="E45" i="1"/>
  <c r="D45" i="1"/>
  <c r="D43" i="1"/>
  <c r="C45" i="1"/>
  <c r="D38" i="1"/>
  <c r="E37" i="1"/>
  <c r="E38" i="1" s="1"/>
  <c r="C37" i="1"/>
  <c r="C38" i="1" s="1"/>
  <c r="F37" i="1"/>
  <c r="F38" i="1" s="1"/>
  <c r="G37" i="1"/>
  <c r="G38" i="1" s="1"/>
</calcChain>
</file>

<file path=xl/sharedStrings.xml><?xml version="1.0" encoding="utf-8"?>
<sst xmlns="http://schemas.openxmlformats.org/spreadsheetml/2006/main" count="117" uniqueCount="103">
  <si>
    <t>Base Polymer</t>
  </si>
  <si>
    <t>Reinforcement</t>
  </si>
  <si>
    <t>S-150CF</t>
  </si>
  <si>
    <t>Modified ABS</t>
  </si>
  <si>
    <t>C-250CF</t>
  </si>
  <si>
    <t>Modified PC</t>
  </si>
  <si>
    <t>C-250GF</t>
  </si>
  <si>
    <t>I-350CF</t>
  </si>
  <si>
    <t>Modified PEI</t>
  </si>
  <si>
    <t>Tensile Strength (MPa)</t>
  </si>
  <si>
    <t>Tensile Modulus (GPa)</t>
  </si>
  <si>
    <t>81 / 26</t>
  </si>
  <si>
    <t>11.0 / 3.6</t>
  </si>
  <si>
    <t>112.4 / 50.3</t>
  </si>
  <si>
    <t>11 / 3.0</t>
  </si>
  <si>
    <t>84.8 / 50.3</t>
  </si>
  <si>
    <t>5.24 / 3.03</t>
  </si>
  <si>
    <t>126 / 68</t>
  </si>
  <si>
    <t>11.7 / 3.8</t>
  </si>
  <si>
    <t>Tg (Tan Delta)</t>
  </si>
  <si>
    <t>14.68</t>
  </si>
  <si>
    <t>10.88</t>
  </si>
  <si>
    <t>29.26</t>
  </si>
  <si>
    <t>7.58</t>
  </si>
  <si>
    <t>Property / Parameter</t>
  </si>
  <si>
    <t>U-350CF</t>
  </si>
  <si>
    <t>General Info</t>
  </si>
  <si>
    <t>Mechanical (X / Z)</t>
  </si>
  <si>
    <t>Flexural Strength (MPa)</t>
  </si>
  <si>
    <t>Comp. Strength (MPa)</t>
  </si>
  <si>
    <t>Thermal Properties</t>
  </si>
  <si>
    <t>HDT @ 1.82 MPa</t>
  </si>
  <si>
    <t>LSAM Processing</t>
  </si>
  <si>
    <t>Vert. Temp (Handheld)</t>
  </si>
  <si>
    <t>198°C</t>
  </si>
  <si>
    <t>190°C</t>
  </si>
  <si>
    <t>279°C</t>
  </si>
  <si>
    <t>175°C</t>
  </si>
  <si>
    <t>173°C</t>
  </si>
  <si>
    <t>164°C</t>
  </si>
  <si>
    <t>252°C</t>
  </si>
  <si>
    <t>Pricing &amp; Package</t>
  </si>
  <si>
    <t>Package Type</t>
  </si>
  <si>
    <t>Pellets</t>
  </si>
  <si>
    <t>OH* Temp (Handheld)</t>
  </si>
  <si>
    <t>144°C</t>
  </si>
  <si>
    <t>Modified PESU</t>
  </si>
  <si>
    <t>20% Carbon Fiber</t>
  </si>
  <si>
    <t>20% Glass Fiber</t>
  </si>
  <si>
    <t>25% Carbon Fiber</t>
  </si>
  <si>
    <t>115 / 50.3</t>
  </si>
  <si>
    <t>140 / 47</t>
  </si>
  <si>
    <t>180 / 93.8</t>
  </si>
  <si>
    <t>139.3 / 115.1</t>
  </si>
  <si>
    <t>194 / 107</t>
  </si>
  <si>
    <t>194.8 / 106.9</t>
  </si>
  <si>
    <t>109.7 / 100.1</t>
  </si>
  <si>
    <t>141.0 / 113.7</t>
  </si>
  <si>
    <t>118.6 / 169.6</t>
  </si>
  <si>
    <t>186.3 / 146.6</t>
  </si>
  <si>
    <t>159.3 / 142.0</t>
  </si>
  <si>
    <t>101°C</t>
  </si>
  <si>
    <t>212°C</t>
  </si>
  <si>
    <t>215°C</t>
  </si>
  <si>
    <t>124°C</t>
  </si>
  <si>
    <t>163°C</t>
  </si>
  <si>
    <t>236°C</t>
  </si>
  <si>
    <t>TBD</t>
  </si>
  <si>
    <t>CTE X (ppm/°C)</t>
  </si>
  <si>
    <t>8.47</t>
  </si>
  <si>
    <t>CTE Z (ppm/°C)</t>
  </si>
  <si>
    <t>151.87</t>
  </si>
  <si>
    <t>110.07</t>
  </si>
  <si>
    <t>95.72</t>
  </si>
  <si>
    <t>74.87</t>
  </si>
  <si>
    <t>89.97</t>
  </si>
  <si>
    <t>Vert. Layer Time (min)</t>
  </si>
  <si>
    <t>OH* Layer Time (min)</t>
  </si>
  <si>
    <t>Density (Printed) g/cc</t>
  </si>
  <si>
    <t>sec</t>
  </si>
  <si>
    <t>Printing limit (S25)</t>
  </si>
  <si>
    <t>Total volume</t>
  </si>
  <si>
    <t>mm</t>
  </si>
  <si>
    <t xml:space="preserve">Width </t>
  </si>
  <si>
    <t xml:space="preserve">length </t>
  </si>
  <si>
    <t xml:space="preserve">Bead thickness </t>
  </si>
  <si>
    <t>cm</t>
  </si>
  <si>
    <t>kg/h</t>
  </si>
  <si>
    <t>g/s</t>
  </si>
  <si>
    <t>Max volume flow (cm3/s)</t>
  </si>
  <si>
    <t>Piece length @45 (m)</t>
  </si>
  <si>
    <t>Rought printing time (h)</t>
  </si>
  <si>
    <t>days</t>
  </si>
  <si>
    <t>Posible to print?</t>
  </si>
  <si>
    <t>Material cost (EUR/cm3)</t>
  </si>
  <si>
    <t>Price (EUR per kg)</t>
  </si>
  <si>
    <t>Piece material cost</t>
  </si>
  <si>
    <t>Printing angle (degrees)</t>
  </si>
  <si>
    <t>Total printing volume (cm3-liter)</t>
  </si>
  <si>
    <t>Material limit (cm3/s)</t>
  </si>
  <si>
    <t xml:space="preserve">1 Layer printing volume </t>
  </si>
  <si>
    <t>Asuming 20mm wall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</si>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</sst>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[Red]\-#,##0.00\ [$€-1]"/>
    <numFmt numFmtId="165" formatCode="0.0"/>
    <numFmt numFmtId="166" formatCode="#,##0\ [$€-1];[Red]\-#,##0\ [$€-1]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  <font>
      <b/>
      <i/>
      <sz val="10"/>
      <color rgb="FF1F1F1F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 indent="1" readingOrder="1"/>
    </xf>
    <xf numFmtId="0" fontId="1" fillId="2" borderId="0" xfId="0" applyFont="1" applyFill="1"/>
    <xf numFmtId="0" fontId="3" fillId="0" borderId="0" xfId="0" applyFont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 readingOrder="1"/>
    </xf>
    <xf numFmtId="164" fontId="3" fillId="0" borderId="0" xfId="0" applyNumberFormat="1" applyFont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7" fillId="0" borderId="0" xfId="0" applyNumberFormat="1" applyFont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2" fontId="7" fillId="0" borderId="1" xfId="0" applyNumberFormat="1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center" vertical="center" wrapText="1" readingOrder="1"/>
    </xf>
    <xf numFmtId="2" fontId="8" fillId="7" borderId="1" xfId="0" applyNumberFormat="1" applyFont="1" applyFill="1" applyBorder="1" applyAlignment="1">
      <alignment horizontal="center" vertical="center" wrapText="1" readingOrder="1"/>
    </xf>
    <xf numFmtId="0" fontId="10" fillId="8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2" fontId="8" fillId="5" borderId="2" xfId="0" applyNumberFormat="1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horizontal="center" vertical="center" wrapText="1" readingOrder="1"/>
    </xf>
    <xf numFmtId="1" fontId="11" fillId="4" borderId="1" xfId="0" applyNumberFormat="1" applyFont="1" applyFill="1" applyBorder="1" applyAlignment="1">
      <alignment horizontal="center" vertical="center" wrapText="1" readingOrder="1"/>
    </xf>
    <xf numFmtId="2" fontId="7" fillId="0" borderId="0" xfId="0" applyNumberFormat="1" applyFont="1" applyAlignment="1">
      <alignment horizontal="center" vertical="center" wrapText="1" readingOrder="1"/>
    </xf>
    <xf numFmtId="0" fontId="10" fillId="8" borderId="2" xfId="0" applyFont="1" applyFill="1" applyBorder="1" applyAlignment="1">
      <alignment horizontal="center" vertical="center" wrapText="1" readingOrder="1"/>
    </xf>
    <xf numFmtId="2" fontId="7" fillId="0" borderId="2" xfId="0" applyNumberFormat="1" applyFont="1" applyBorder="1" applyAlignment="1">
      <alignment horizontal="center" vertical="center" wrapText="1" readingOrder="1"/>
    </xf>
    <xf numFmtId="165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1"/>
    </xf>
    <xf numFmtId="164" fontId="5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0" fontId="6" fillId="3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readingOrder="1"/>
    </xf>
    <xf numFmtId="0" fontId="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C311-65A2-4AAB-AF28-449CAF5C681B}">
  <dimension ref="A1:P45"/>
  <sheetViews>
    <sheetView tabSelected="1" topLeftCell="A12" zoomScale="85" zoomScaleNormal="85" workbookViewId="0">
      <selection activeCell="H31" sqref="H31"/>
    </sheetView>
  </sheetViews>
  <sheetFormatPr defaultRowHeight="14.5" x14ac:dyDescent="0.35"/>
  <cols>
    <col min="1" max="1" width="2.5" customWidth="1"/>
    <col min="2" max="2" width="25.33203125" customWidth="1"/>
    <col min="3" max="3" width="15.5" customWidth="1"/>
    <col min="4" max="7" width="13" customWidth="1"/>
    <col min="8" max="16" width="19.83203125" customWidth="1"/>
  </cols>
  <sheetData>
    <row r="1" spans="1:16" ht="5.35" customHeight="1" x14ac:dyDescent="0.35"/>
    <row r="2" spans="1:16" s="1" customFormat="1" ht="16.55" customHeight="1" x14ac:dyDescent="0.4">
      <c r="B2" s="8" t="s">
        <v>24</v>
      </c>
      <c r="C2" s="8" t="s">
        <v>2</v>
      </c>
      <c r="D2" s="8" t="s">
        <v>4</v>
      </c>
      <c r="E2" s="8" t="s">
        <v>6</v>
      </c>
      <c r="F2" s="8" t="s">
        <v>7</v>
      </c>
      <c r="G2" s="8" t="s">
        <v>25</v>
      </c>
    </row>
    <row r="3" spans="1:16" s="3" customFormat="1" ht="16.55" customHeight="1" x14ac:dyDescent="0.4">
      <c r="A3" s="1"/>
      <c r="B3" s="7" t="s">
        <v>41</v>
      </c>
      <c r="C3" s="41"/>
      <c r="D3" s="41"/>
      <c r="E3" s="41"/>
      <c r="F3" s="41"/>
      <c r="G3" s="41"/>
      <c r="H3" s="2"/>
      <c r="I3" s="2"/>
      <c r="J3" s="2"/>
      <c r="K3" s="2"/>
      <c r="L3" s="2"/>
      <c r="M3" s="2"/>
      <c r="N3" s="2"/>
      <c r="O3" s="2"/>
      <c r="P3" s="2"/>
    </row>
    <row r="4" spans="1:16" s="1" customFormat="1" ht="16.55" customHeight="1" x14ac:dyDescent="0.4">
      <c r="B4" s="8" t="s">
        <v>42</v>
      </c>
      <c r="C4" s="9" t="s">
        <v>43</v>
      </c>
      <c r="D4" s="9" t="s">
        <v>43</v>
      </c>
      <c r="E4" s="9" t="s">
        <v>43</v>
      </c>
      <c r="F4" s="9" t="s">
        <v>43</v>
      </c>
      <c r="G4" s="9" t="s">
        <v>43</v>
      </c>
      <c r="H4" s="4"/>
      <c r="I4" s="4"/>
      <c r="J4" s="4"/>
      <c r="K4" s="4"/>
      <c r="L4" s="4"/>
      <c r="M4" s="4"/>
      <c r="N4" s="4"/>
      <c r="O4" s="4"/>
      <c r="P4" s="4"/>
    </row>
    <row r="5" spans="1:16" s="1" customFormat="1" ht="16.55" customHeight="1" x14ac:dyDescent="0.4">
      <c r="B5" s="8" t="s">
        <v>95</v>
      </c>
      <c r="C5" s="42">
        <v>20.9</v>
      </c>
      <c r="D5" s="42">
        <v>23.26</v>
      </c>
      <c r="E5" s="42">
        <v>14.13</v>
      </c>
      <c r="F5" s="42">
        <v>47.02</v>
      </c>
      <c r="G5" s="42">
        <v>43.6</v>
      </c>
      <c r="H5" s="6"/>
      <c r="I5" s="6"/>
      <c r="J5" s="4"/>
      <c r="K5" s="4"/>
      <c r="L5" s="4"/>
      <c r="M5" s="4"/>
      <c r="N5" s="4"/>
      <c r="O5" s="4"/>
      <c r="P5" s="4"/>
    </row>
    <row r="6" spans="1:16" s="3" customFormat="1" ht="14.05" customHeight="1" x14ac:dyDescent="0.4">
      <c r="A6" s="1"/>
      <c r="B6" s="43" t="s">
        <v>26</v>
      </c>
      <c r="C6" s="41"/>
      <c r="D6" s="41"/>
      <c r="E6" s="41"/>
      <c r="F6" s="41"/>
      <c r="G6" s="41"/>
      <c r="H6" s="5"/>
      <c r="I6" s="5"/>
      <c r="J6" s="5"/>
      <c r="K6" s="5"/>
      <c r="L6" s="5"/>
      <c r="M6" s="5"/>
      <c r="N6" s="5"/>
      <c r="O6" s="5"/>
      <c r="P6" s="5"/>
    </row>
    <row r="7" spans="1:16" s="1" customFormat="1" ht="16.55" customHeight="1" x14ac:dyDescent="0.4">
      <c r="B7" s="8" t="s">
        <v>0</v>
      </c>
      <c r="C7" s="9" t="s">
        <v>3</v>
      </c>
      <c r="D7" s="9" t="s">
        <v>5</v>
      </c>
      <c r="E7" s="9" t="s">
        <v>5</v>
      </c>
      <c r="F7" s="9" t="s">
        <v>8</v>
      </c>
      <c r="G7" s="9" t="s">
        <v>46</v>
      </c>
      <c r="H7" s="4"/>
      <c r="I7" s="4"/>
      <c r="J7" s="4"/>
      <c r="K7" s="4"/>
      <c r="L7" s="4"/>
      <c r="M7" s="4"/>
      <c r="N7" s="4"/>
      <c r="O7" s="4"/>
      <c r="P7" s="4"/>
    </row>
    <row r="8" spans="1:16" s="1" customFormat="1" ht="16.55" customHeight="1" x14ac:dyDescent="0.4">
      <c r="B8" s="8" t="s">
        <v>1</v>
      </c>
      <c r="C8" s="9" t="s">
        <v>47</v>
      </c>
      <c r="D8" s="40" t="s">
        <v>47</v>
      </c>
      <c r="E8" s="38" t="s">
        <v>48</v>
      </c>
      <c r="F8" s="40" t="s">
        <v>47</v>
      </c>
      <c r="G8" s="40" t="s">
        <v>49</v>
      </c>
      <c r="H8" s="4"/>
      <c r="I8" s="4"/>
      <c r="J8" s="4"/>
      <c r="K8" s="4"/>
      <c r="L8" s="4"/>
      <c r="M8" s="4"/>
      <c r="N8" s="4"/>
      <c r="O8" s="4"/>
      <c r="P8" s="4"/>
    </row>
    <row r="9" spans="1:16" s="1" customFormat="1" ht="16.55" customHeight="1" x14ac:dyDescent="0.4">
      <c r="B9" s="8" t="s">
        <v>78</v>
      </c>
      <c r="C9" s="9">
        <v>1.1100000000000001</v>
      </c>
      <c r="D9" s="9">
        <v>1.21</v>
      </c>
      <c r="E9" s="9">
        <v>1.24</v>
      </c>
      <c r="F9" s="9">
        <v>1.1499999999999999</v>
      </c>
      <c r="G9" s="9">
        <v>1.29</v>
      </c>
      <c r="H9" s="4"/>
      <c r="I9" s="4"/>
      <c r="J9" s="4"/>
    </row>
    <row r="10" spans="1:16" s="3" customFormat="1" ht="16.55" customHeight="1" x14ac:dyDescent="0.4">
      <c r="A10" s="1"/>
      <c r="B10" s="7" t="s">
        <v>27</v>
      </c>
      <c r="C10" s="41"/>
      <c r="D10" s="41"/>
      <c r="E10" s="41"/>
      <c r="F10" s="41"/>
      <c r="G10" s="41"/>
    </row>
    <row r="11" spans="1:16" s="1" customFormat="1" ht="16.55" customHeight="1" x14ac:dyDescent="0.4">
      <c r="B11" s="8" t="s">
        <v>9</v>
      </c>
      <c r="C11" s="44" t="s">
        <v>11</v>
      </c>
      <c r="D11" s="44" t="s">
        <v>13</v>
      </c>
      <c r="E11" s="44" t="s">
        <v>15</v>
      </c>
      <c r="F11" s="44" t="s">
        <v>17</v>
      </c>
      <c r="G11" s="44" t="s">
        <v>50</v>
      </c>
    </row>
    <row r="12" spans="1:16" s="1" customFormat="1" ht="16.55" customHeight="1" x14ac:dyDescent="0.4">
      <c r="B12" s="8" t="s">
        <v>10</v>
      </c>
      <c r="C12" s="9" t="s">
        <v>12</v>
      </c>
      <c r="D12" s="9" t="s">
        <v>14</v>
      </c>
      <c r="E12" s="9" t="s">
        <v>16</v>
      </c>
      <c r="F12" s="9" t="s">
        <v>18</v>
      </c>
      <c r="G12" s="9" t="s">
        <v>18</v>
      </c>
    </row>
    <row r="13" spans="1:16" s="1" customFormat="1" ht="16.55" customHeight="1" x14ac:dyDescent="0.4">
      <c r="B13" s="8" t="s">
        <v>28</v>
      </c>
      <c r="C13" s="48" t="s">
        <v>51</v>
      </c>
      <c r="D13" s="48" t="s">
        <v>52</v>
      </c>
      <c r="E13" s="48" t="s">
        <v>53</v>
      </c>
      <c r="F13" s="48" t="s">
        <v>54</v>
      </c>
      <c r="G13" s="48" t="s">
        <v>55</v>
      </c>
    </row>
    <row r="14" spans="1:16" s="1" customFormat="1" ht="16.55" customHeight="1" x14ac:dyDescent="0.4">
      <c r="B14" s="8" t="s">
        <v>29</v>
      </c>
      <c r="C14" s="48" t="s">
        <v>56</v>
      </c>
      <c r="D14" s="48" t="s">
        <v>57</v>
      </c>
      <c r="E14" s="48" t="s">
        <v>58</v>
      </c>
      <c r="F14" s="48" t="s">
        <v>59</v>
      </c>
      <c r="G14" s="48" t="s">
        <v>60</v>
      </c>
    </row>
    <row r="15" spans="1:16" s="3" customFormat="1" ht="16.55" customHeight="1" x14ac:dyDescent="0.4">
      <c r="A15" s="1"/>
      <c r="B15" s="7" t="s">
        <v>30</v>
      </c>
      <c r="C15" s="41"/>
      <c r="D15" s="41"/>
      <c r="E15" s="41"/>
      <c r="F15" s="41"/>
      <c r="G15" s="41"/>
    </row>
    <row r="16" spans="1:16" s="1" customFormat="1" ht="13.55" customHeight="1" x14ac:dyDescent="0.4">
      <c r="B16" s="8" t="s">
        <v>31</v>
      </c>
      <c r="C16" s="44" t="s">
        <v>61</v>
      </c>
      <c r="D16" s="44" t="s">
        <v>45</v>
      </c>
      <c r="E16" s="44" t="s">
        <v>45</v>
      </c>
      <c r="F16" s="44" t="s">
        <v>62</v>
      </c>
      <c r="G16" s="44" t="s">
        <v>63</v>
      </c>
    </row>
    <row r="17" spans="1:7" s="1" customFormat="1" ht="16.55" customHeight="1" x14ac:dyDescent="0.4">
      <c r="B17" s="8" t="s">
        <v>19</v>
      </c>
      <c r="C17" s="9" t="s">
        <v>64</v>
      </c>
      <c r="D17" s="9" t="s">
        <v>65</v>
      </c>
      <c r="E17" s="9" t="s">
        <v>65</v>
      </c>
      <c r="F17" s="9" t="s">
        <v>66</v>
      </c>
      <c r="G17" s="9" t="s">
        <v>67</v>
      </c>
    </row>
    <row r="18" spans="1:7" s="1" customFormat="1" ht="16.55" customHeight="1" x14ac:dyDescent="0.4">
      <c r="B18" s="8" t="s">
        <v>68</v>
      </c>
      <c r="C18" s="9" t="s">
        <v>20</v>
      </c>
      <c r="D18" s="9" t="s">
        <v>21</v>
      </c>
      <c r="E18" s="9" t="s">
        <v>22</v>
      </c>
      <c r="F18" s="9" t="s">
        <v>23</v>
      </c>
      <c r="G18" s="9" t="s">
        <v>69</v>
      </c>
    </row>
    <row r="19" spans="1:7" s="1" customFormat="1" ht="16.55" customHeight="1" x14ac:dyDescent="0.4">
      <c r="B19" s="8" t="s">
        <v>70</v>
      </c>
      <c r="C19" s="9" t="s">
        <v>71</v>
      </c>
      <c r="D19" s="9" t="s">
        <v>72</v>
      </c>
      <c r="E19" s="9" t="s">
        <v>73</v>
      </c>
      <c r="F19" s="9" t="s">
        <v>74</v>
      </c>
      <c r="G19" s="9" t="s">
        <v>75</v>
      </c>
    </row>
    <row r="20" spans="1:7" s="3" customFormat="1" ht="16.55" customHeight="1" x14ac:dyDescent="0.4">
      <c r="A20" s="1"/>
      <c r="B20" s="7" t="s">
        <v>32</v>
      </c>
      <c r="C20" s="41"/>
      <c r="D20" s="41"/>
      <c r="E20" s="41"/>
      <c r="F20" s="41"/>
      <c r="G20" s="41"/>
    </row>
    <row r="21" spans="1:7" s="1" customFormat="1" ht="16.55" customHeight="1" x14ac:dyDescent="0.4">
      <c r="B21" s="8" t="s">
        <v>76</v>
      </c>
      <c r="C21" s="45">
        <v>4.1666666666666664E-2</v>
      </c>
      <c r="D21" s="45">
        <v>9.375E-2</v>
      </c>
      <c r="E21" s="45">
        <v>9.375E-2</v>
      </c>
      <c r="F21" s="45">
        <v>4.8611111111111112E-2</v>
      </c>
      <c r="G21" s="45">
        <v>4.8611111111111112E-2</v>
      </c>
    </row>
    <row r="22" spans="1:7" s="1" customFormat="1" ht="16.55" customHeight="1" x14ac:dyDescent="0.4">
      <c r="B22" s="8" t="s">
        <v>79</v>
      </c>
      <c r="C22" s="46">
        <v>60</v>
      </c>
      <c r="D22" s="46">
        <v>135</v>
      </c>
      <c r="E22" s="46">
        <v>135</v>
      </c>
      <c r="F22" s="46">
        <v>70</v>
      </c>
      <c r="G22" s="46">
        <v>70</v>
      </c>
    </row>
    <row r="23" spans="1:7" s="1" customFormat="1" ht="16.55" customHeight="1" x14ac:dyDescent="0.4">
      <c r="B23" s="8" t="s">
        <v>33</v>
      </c>
      <c r="C23" s="9" t="s">
        <v>34</v>
      </c>
      <c r="D23" s="9" t="s">
        <v>35</v>
      </c>
      <c r="E23" s="9" t="s">
        <v>35</v>
      </c>
      <c r="F23" s="9" t="s">
        <v>36</v>
      </c>
      <c r="G23" s="9" t="s">
        <v>36</v>
      </c>
    </row>
    <row r="24" spans="1:7" s="1" customFormat="1" ht="16.55" customHeight="1" x14ac:dyDescent="0.4">
      <c r="B24" s="8" t="s">
        <v>77</v>
      </c>
      <c r="C24" s="45">
        <v>8.3333333333333329E-2</v>
      </c>
      <c r="D24" s="45">
        <v>0.11458333333333333</v>
      </c>
      <c r="E24" s="45">
        <v>0.14583333333333334</v>
      </c>
      <c r="F24" s="45">
        <v>6.9444444444444448E-2</v>
      </c>
      <c r="G24" s="45">
        <v>6.9444444444444448E-2</v>
      </c>
    </row>
    <row r="25" spans="1:7" s="1" customFormat="1" ht="16.55" customHeight="1" x14ac:dyDescent="0.4">
      <c r="B25" s="8" t="s">
        <v>79</v>
      </c>
      <c r="C25" s="46">
        <v>120</v>
      </c>
      <c r="D25" s="46">
        <v>165</v>
      </c>
      <c r="E25" s="46">
        <v>210</v>
      </c>
      <c r="F25" s="46">
        <v>100</v>
      </c>
      <c r="G25" s="46">
        <v>100</v>
      </c>
    </row>
    <row r="26" spans="1:7" s="1" customFormat="1" ht="16.45" customHeight="1" x14ac:dyDescent="0.4">
      <c r="B26" s="8" t="s">
        <v>44</v>
      </c>
      <c r="C26" s="9" t="s">
        <v>37</v>
      </c>
      <c r="D26" s="9" t="s">
        <v>38</v>
      </c>
      <c r="E26" s="9" t="s">
        <v>39</v>
      </c>
      <c r="F26" s="9" t="s">
        <v>40</v>
      </c>
      <c r="G26" s="9" t="s">
        <v>40</v>
      </c>
    </row>
    <row r="27" spans="1:7" ht="5.35" customHeight="1" x14ac:dyDescent="0.35">
      <c r="B27" s="10"/>
      <c r="C27" s="10"/>
      <c r="D27" s="10"/>
      <c r="E27" s="10"/>
      <c r="F27" s="10"/>
      <c r="G27" s="10"/>
    </row>
    <row r="28" spans="1:7" ht="11.15" customHeight="1" x14ac:dyDescent="0.35">
      <c r="B28" s="11"/>
      <c r="C28" s="12" t="s">
        <v>87</v>
      </c>
      <c r="D28" s="12" t="s">
        <v>88</v>
      </c>
      <c r="E28" s="13"/>
      <c r="F28" s="13"/>
      <c r="G28" s="13"/>
    </row>
    <row r="29" spans="1:7" ht="14.5" customHeight="1" x14ac:dyDescent="0.35">
      <c r="B29" s="14" t="s">
        <v>80</v>
      </c>
      <c r="C29" s="15">
        <v>25</v>
      </c>
      <c r="D29" s="15">
        <f>25*(1000/3600)</f>
        <v>6.9444444444444446</v>
      </c>
      <c r="E29" s="16"/>
      <c r="F29" s="16"/>
      <c r="G29" s="16"/>
    </row>
    <row r="30" spans="1:7" ht="14.5" customHeight="1" x14ac:dyDescent="0.35">
      <c r="B30" s="17" t="s">
        <v>100</v>
      </c>
      <c r="C30" s="18" t="s">
        <v>82</v>
      </c>
      <c r="D30" s="18" t="s">
        <v>86</v>
      </c>
      <c r="E30" s="16"/>
      <c r="F30" s="16"/>
      <c r="G30" s="16"/>
    </row>
    <row r="31" spans="1:7" ht="14.5" customHeight="1" x14ac:dyDescent="0.35">
      <c r="B31" s="19" t="s">
        <v>83</v>
      </c>
      <c r="C31" s="20">
        <v>540</v>
      </c>
      <c r="D31" s="15">
        <f>C31/10</f>
        <v>54</v>
      </c>
      <c r="E31" s="16"/>
      <c r="F31" s="21" t="s">
        <v>102</v>
      </c>
      <c r="G31" s="16"/>
    </row>
    <row r="32" spans="1:7" ht="14.5" customHeight="1" x14ac:dyDescent="0.35">
      <c r="B32" s="19" t="s">
        <v>84</v>
      </c>
      <c r="C32" s="20">
        <v>540</v>
      </c>
      <c r="D32" s="15">
        <f t="shared" ref="D32:D33" si="0">C32/10</f>
        <v>54</v>
      </c>
      <c r="E32" s="16"/>
      <c r="F32" s="16"/>
      <c r="G32" s="16"/>
    </row>
    <row r="33" spans="2:7" ht="14.5" customHeight="1" x14ac:dyDescent="0.35">
      <c r="B33" s="19" t="s">
        <v>85</v>
      </c>
      <c r="C33" s="20">
        <v>10</v>
      </c>
      <c r="D33" s="15">
        <f t="shared" si="0"/>
        <v>1</v>
      </c>
      <c r="E33" s="11"/>
      <c r="F33" s="16"/>
      <c r="G33" s="16"/>
    </row>
    <row r="34" spans="2:7" ht="14.5" customHeight="1" x14ac:dyDescent="0.35">
      <c r="B34" s="22" t="s">
        <v>81</v>
      </c>
      <c r="C34" s="15">
        <f>C33*C32*C31</f>
        <v>2916000</v>
      </c>
      <c r="D34" s="15">
        <f>D31*D32*D33</f>
        <v>2916</v>
      </c>
      <c r="E34" s="16"/>
      <c r="F34" s="16"/>
      <c r="G34" s="16"/>
    </row>
    <row r="35" spans="2:7" ht="14.5" customHeight="1" x14ac:dyDescent="0.35">
      <c r="B35" s="23" t="s">
        <v>97</v>
      </c>
      <c r="C35" s="24">
        <v>45</v>
      </c>
      <c r="D35" s="25">
        <f>COS(RADIANS(C35))</f>
        <v>0.70710678118654757</v>
      </c>
      <c r="E35" s="16"/>
      <c r="F35" s="16"/>
      <c r="G35" s="16"/>
    </row>
    <row r="36" spans="2:7" ht="14.5" customHeight="1" x14ac:dyDescent="0.35">
      <c r="B36" s="26" t="s">
        <v>89</v>
      </c>
      <c r="C36" s="15">
        <f>$D$29/(C9)</f>
        <v>6.2562562562562558</v>
      </c>
      <c r="D36" s="15">
        <f>$D$29/(D9)</f>
        <v>5.7392102846648303</v>
      </c>
      <c r="E36" s="15">
        <f>$D$29/(E9)</f>
        <v>5.6003584229390686</v>
      </c>
      <c r="F36" s="15">
        <f>$D$29/(F9)</f>
        <v>6.0386473429951701</v>
      </c>
      <c r="G36" s="15">
        <f>$D$29/(G9)</f>
        <v>5.3832902670111968</v>
      </c>
    </row>
    <row r="37" spans="2:7" ht="14.5" customHeight="1" x14ac:dyDescent="0.35">
      <c r="B37" s="12" t="s">
        <v>99</v>
      </c>
      <c r="C37" s="15">
        <f>$D$34/C25</f>
        <v>24.3</v>
      </c>
      <c r="D37" s="15">
        <f>$D$34/D25</f>
        <v>17.672727272727272</v>
      </c>
      <c r="E37" s="15">
        <f>$D$34/E25</f>
        <v>13.885714285714286</v>
      </c>
      <c r="F37" s="15">
        <f>$D$34/F25</f>
        <v>29.16</v>
      </c>
      <c r="G37" s="15">
        <f>$D$34/G25</f>
        <v>29.16</v>
      </c>
    </row>
    <row r="38" spans="2:7" ht="14.5" customHeight="1" x14ac:dyDescent="0.35">
      <c r="B38" s="27" t="s">
        <v>93</v>
      </c>
      <c r="C38" s="28" t="str">
        <f>IF(C36&gt;C37, "yes","no")</f>
        <v>no</v>
      </c>
      <c r="D38" s="28" t="str">
        <f t="shared" ref="D38:G38" si="1">IF(D36&gt;D37, "yes","no")</f>
        <v>no</v>
      </c>
      <c r="E38" s="28" t="str">
        <f t="shared" si="1"/>
        <v>no</v>
      </c>
      <c r="F38" s="28" t="str">
        <f t="shared" si="1"/>
        <v>no</v>
      </c>
      <c r="G38" s="28" t="str">
        <f t="shared" si="1"/>
        <v>no</v>
      </c>
    </row>
    <row r="39" spans="2:7" ht="14.5" customHeight="1" x14ac:dyDescent="0.35">
      <c r="B39" s="16"/>
      <c r="C39" s="29"/>
      <c r="D39" s="29"/>
      <c r="E39" s="16"/>
      <c r="F39" s="16"/>
      <c r="G39" s="16"/>
    </row>
    <row r="40" spans="2:7" ht="14.5" customHeight="1" x14ac:dyDescent="0.35">
      <c r="B40" s="30" t="s">
        <v>90</v>
      </c>
      <c r="C40" s="24">
        <v>5</v>
      </c>
      <c r="D40" s="31">
        <f>C40*100</f>
        <v>500</v>
      </c>
      <c r="E40" s="16"/>
      <c r="F40" s="16"/>
      <c r="G40" s="16"/>
    </row>
    <row r="41" spans="2:7" ht="14.5" customHeight="1" x14ac:dyDescent="0.35">
      <c r="B41" s="26" t="s">
        <v>91</v>
      </c>
      <c r="C41" s="15">
        <f>(($D$40/($D$33*$D$35))*C25)/3600</f>
        <v>23.570226039551581</v>
      </c>
      <c r="D41" s="15">
        <f>(($D$40/($D$33*$D$35))*D25)/3600</f>
        <v>32.409060804383422</v>
      </c>
      <c r="E41" s="15">
        <f>(($D$40/($D$33*$D$35))*E25)/3600</f>
        <v>41.247895569215267</v>
      </c>
      <c r="F41" s="15">
        <f>(($D$40/($D$33*$D$35))*F25)/3600</f>
        <v>19.641855032959651</v>
      </c>
      <c r="G41" s="15">
        <f>(($D$40/($D$33*$D$35))*G25)/3600</f>
        <v>19.641855032959651</v>
      </c>
    </row>
    <row r="42" spans="2:7" ht="14.5" customHeight="1" x14ac:dyDescent="0.35">
      <c r="B42" s="26" t="s">
        <v>92</v>
      </c>
      <c r="C42" s="32">
        <f>C41/24</f>
        <v>0.9820927516479826</v>
      </c>
      <c r="D42" s="32">
        <f t="shared" ref="D42:G42" si="2">D41/24</f>
        <v>1.350377533515976</v>
      </c>
      <c r="E42" s="32">
        <f t="shared" si="2"/>
        <v>1.7186623153839695</v>
      </c>
      <c r="F42" s="32">
        <f t="shared" si="2"/>
        <v>0.81841062637331874</v>
      </c>
      <c r="G42" s="32">
        <f t="shared" si="2"/>
        <v>0.81841062637331874</v>
      </c>
    </row>
    <row r="43" spans="2:7" ht="14.5" customHeight="1" x14ac:dyDescent="0.35">
      <c r="B43" s="47" t="s">
        <v>98</v>
      </c>
      <c r="C43" s="33">
        <f>(D40*D32*D31)-(50*50*D40)</f>
        <v>208000</v>
      </c>
      <c r="D43" s="12">
        <f>C43/1000</f>
        <v>208</v>
      </c>
      <c r="E43" s="39" t="s">
        <v>101</v>
      </c>
      <c r="F43" s="39"/>
      <c r="G43" s="11"/>
    </row>
    <row r="44" spans="2:7" ht="14.5" customHeight="1" x14ac:dyDescent="0.35">
      <c r="B44" s="34" t="s">
        <v>94</v>
      </c>
      <c r="C44" s="35">
        <f>(C5*C9)/1000</f>
        <v>2.3199000000000001E-2</v>
      </c>
      <c r="D44" s="35">
        <f>(D5*D9)/1000</f>
        <v>2.8144599999999999E-2</v>
      </c>
      <c r="E44" s="36">
        <f>(E5*E9)/1000</f>
        <v>1.7521200000000001E-2</v>
      </c>
      <c r="F44" s="36">
        <f>(F5*F9)/1000</f>
        <v>5.4073000000000003E-2</v>
      </c>
      <c r="G44" s="36">
        <f>(G5*G9)/1000</f>
        <v>5.6244000000000009E-2</v>
      </c>
    </row>
    <row r="45" spans="2:7" ht="14.5" customHeight="1" x14ac:dyDescent="0.35">
      <c r="B45" s="26" t="s">
        <v>96</v>
      </c>
      <c r="C45" s="37">
        <f>$C$43*C44</f>
        <v>4825.3919999999998</v>
      </c>
      <c r="D45" s="37">
        <f t="shared" ref="D45:G45" si="3">$C$43*D44</f>
        <v>5854.0767999999998</v>
      </c>
      <c r="E45" s="37">
        <f t="shared" si="3"/>
        <v>3644.4096</v>
      </c>
      <c r="F45" s="37">
        <f t="shared" si="3"/>
        <v>11247.184000000001</v>
      </c>
      <c r="G45" s="37">
        <f t="shared" si="3"/>
        <v>11698.752000000002</v>
      </c>
    </row>
  </sheetData>
  <mergeCells count="1">
    <mergeCell ref="E43:F43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Bartolotta</dc:creator>
  <cp:lastModifiedBy>Antonino Bartolotta</cp:lastModifiedBy>
  <cp:lastPrinted>2026-01-07T13:26:23Z</cp:lastPrinted>
  <dcterms:created xsi:type="dcterms:W3CDTF">2025-12-23T08:10:28Z</dcterms:created>
  <dcterms:modified xsi:type="dcterms:W3CDTF">2026-01-08T09:43:24Z</dcterms:modified>
</cp:coreProperties>
</file>